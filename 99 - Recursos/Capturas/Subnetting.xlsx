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ys\OneDrive\Documentos\Second Brain\Brain\Files\Documentos\"/>
    </mc:Choice>
  </mc:AlternateContent>
  <xr:revisionPtr revIDLastSave="0" documentId="13_ncr:1_{69F6B9C5-9FFC-457D-94CB-1D2FACB093E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Bits" sheetId="1" r:id="rId1"/>
    <sheet name="Cheat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G12" i="2" s="1"/>
  <c r="F12" i="2" s="1"/>
  <c r="E12" i="2" s="1"/>
  <c r="D12" i="2" s="1"/>
  <c r="C12" i="2" s="1"/>
  <c r="AN5" i="1"/>
  <c r="AN4" i="1"/>
  <c r="AL4" i="1"/>
  <c r="AJ6" i="1"/>
  <c r="AA6" i="1"/>
  <c r="R6" i="1"/>
  <c r="I6" i="1"/>
  <c r="C13" i="2" l="1"/>
  <c r="D13" i="2" s="1"/>
  <c r="E13" i="2" s="1"/>
  <c r="F13" i="2" s="1"/>
  <c r="G13" i="2" s="1"/>
  <c r="H13" i="2" s="1"/>
  <c r="I13" i="2" s="1"/>
  <c r="B12" i="2"/>
  <c r="I9" i="2" s="1"/>
  <c r="H9" i="2" s="1"/>
  <c r="G9" i="2" s="1"/>
  <c r="F9" i="2" s="1"/>
  <c r="E9" i="2" s="1"/>
  <c r="D9" i="2" s="1"/>
  <c r="C9" i="2" s="1"/>
  <c r="B9" i="2" s="1"/>
  <c r="I6" i="2" s="1"/>
  <c r="H6" i="2" s="1"/>
  <c r="G6" i="2" s="1"/>
  <c r="F6" i="2" s="1"/>
  <c r="E6" i="2" s="1"/>
  <c r="D6" i="2" s="1"/>
  <c r="C6" i="2" s="1"/>
  <c r="B6" i="2" s="1"/>
  <c r="I3" i="2" s="1"/>
  <c r="H3" i="2" s="1"/>
  <c r="G3" i="2" s="1"/>
  <c r="F3" i="2" s="1"/>
  <c r="E3" i="2" s="1"/>
  <c r="D3" i="2" s="1"/>
  <c r="C3" i="2" s="1"/>
  <c r="B3" i="2" s="1"/>
</calcChain>
</file>

<file path=xl/sharedStrings.xml><?xml version="1.0" encoding="utf-8"?>
<sst xmlns="http://schemas.openxmlformats.org/spreadsheetml/2006/main" count="163" uniqueCount="140">
  <si>
    <t>Mascara de Red</t>
  </si>
  <si>
    <t>CIDR</t>
  </si>
  <si>
    <t>Total Hosts</t>
  </si>
  <si>
    <t>Subnet: x.0.0.0</t>
  </si>
  <si>
    <t>Class A</t>
  </si>
  <si>
    <t>Class B</t>
  </si>
  <si>
    <t>Class C</t>
  </si>
  <si>
    <t>Subnet: 255.x.0.0</t>
  </si>
  <si>
    <t>Subnet 255.255.x.0</t>
  </si>
  <si>
    <t>Subnet 255.255.255.x</t>
  </si>
  <si>
    <t>Subnet Mask (Sustituir X)</t>
  </si>
  <si>
    <t>/1</t>
  </si>
  <si>
    <t>/2</t>
  </si>
  <si>
    <t>/3</t>
  </si>
  <si>
    <t>/4</t>
  </si>
  <si>
    <t>/5</t>
  </si>
  <si>
    <t>/6</t>
  </si>
  <si>
    <t>/7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</si>
  <si>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</si>
  <si>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</si>
  <si>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</si>
  <si>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</si>
  <si>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</si>
  <si>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</si>
  <si>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</si>
  <si>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</si>
  <si>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</si>
  <si>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</si>
  <si>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</si>
  <si>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</si>
  <si>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</si>
  <si>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</si>
  <si>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</si>
  <si>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</si>
  <si>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</si>
  <si>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</si>
  <si>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</si>
  <si>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</si>
  <si>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</si>
  <si>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</si>
  <si>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</si>
  <si>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</si>
  <si>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</si>
  <si>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Network Mask</t>
  </si>
  <si>
    <t>Network ID</t>
  </si>
  <si>
    <t>Broadcast Address</t>
  </si>
  <si>
    <t>192.168.1.0/26</t>
  </si>
  <si>
    <t>255.255.255.0</t>
  </si>
  <si>
    <t>192.168.1.0</t>
  </si>
  <si>
    <t>192.168.1.255</t>
  </si>
  <si>
    <t>192.168.1.63</t>
  </si>
  <si>
    <t>10.10.0.0/24</t>
  </si>
  <si>
    <t>10.10.0.0</t>
  </si>
  <si>
    <t>10.10.0.255</t>
  </si>
  <si>
    <t>10.10.1.15/23</t>
  </si>
  <si>
    <t>10.10.1.255</t>
  </si>
  <si>
    <t>192.168.112.165/25</t>
  </si>
  <si>
    <t>192.168.1.0/23</t>
  </si>
  <si>
    <t>192.168.0.0</t>
  </si>
  <si>
    <t>192.168.2.0/23</t>
  </si>
  <si>
    <t>192.168.3.0/23</t>
  </si>
  <si>
    <t>192.168.2.0</t>
  </si>
  <si>
    <t>192.168.3.255</t>
  </si>
  <si>
    <t>10.10.13.124/19</t>
  </si>
  <si>
    <t>255.255.254.0</t>
  </si>
  <si>
    <t>10.10.31.255</t>
  </si>
  <si>
    <t>255.255.224.0</t>
  </si>
  <si>
    <t>10.10.38.12/19</t>
  </si>
  <si>
    <t>10.10.32.0</t>
  </si>
  <si>
    <t>10.10.63.255</t>
  </si>
  <si>
    <t>13.13.13.13/13</t>
  </si>
  <si>
    <t>255.255.248.0</t>
  </si>
  <si>
    <t>13.8.0.0</t>
  </si>
  <si>
    <t>13.8.255.255</t>
  </si>
  <si>
    <t>172.16.5.200/27</t>
  </si>
  <si>
    <t>172.16.5.192</t>
  </si>
  <si>
    <t>172.16.223</t>
  </si>
  <si>
    <t>172.16.128.0/20</t>
  </si>
  <si>
    <t>172.16.128.0</t>
  </si>
  <si>
    <t>172.16.143.255</t>
  </si>
  <si>
    <t>172.31.255.254/30</t>
  </si>
  <si>
    <t>255.255.240.0</t>
  </si>
  <si>
    <t>172.31.255.255</t>
  </si>
  <si>
    <t>172.31.255.252</t>
  </si>
  <si>
    <t>192.168.50.14/28</t>
  </si>
  <si>
    <t>192.168.50.0</t>
  </si>
  <si>
    <t>192.168.50.15</t>
  </si>
  <si>
    <t>192.168.200.0/22</t>
  </si>
  <si>
    <t>255.255.252.0</t>
  </si>
  <si>
    <t>192.168.200.0</t>
  </si>
  <si>
    <t>192.0.2.77/29</t>
  </si>
  <si>
    <t>192.0.2.72</t>
  </si>
  <si>
    <t>192.0.2.79</t>
  </si>
  <si>
    <t>198.51.100.128/25</t>
  </si>
  <si>
    <t>203.0.113.19/24</t>
  </si>
  <si>
    <t>203.0.113.0</t>
  </si>
  <si>
    <t>203.0.113.255</t>
  </si>
  <si>
    <t>10.0.0.0/12</t>
  </si>
  <si>
    <t>255.240.0.0</t>
  </si>
  <si>
    <t>10.0.0.0</t>
  </si>
  <si>
    <t>10.15.255.255</t>
  </si>
  <si>
    <t>10.123.45.67/18</t>
  </si>
  <si>
    <t>255.255.192.0</t>
  </si>
  <si>
    <t>10.123.0.0</t>
  </si>
  <si>
    <t>10.123.63.255</t>
  </si>
  <si>
    <t>100.64.55.1/23</t>
  </si>
  <si>
    <t>100.64.54.0</t>
  </si>
  <si>
    <t>100.64.55.255</t>
  </si>
  <si>
    <t>8.8.8.8/21</t>
  </si>
  <si>
    <t>8.8.8.0</t>
  </si>
  <si>
    <t>8.8.15.255</t>
  </si>
  <si>
    <t>172.20.0.0/14</t>
  </si>
  <si>
    <t>255.252.0.0</t>
  </si>
  <si>
    <t>172.20.0.0</t>
  </si>
  <si>
    <t>172.23.255.255</t>
  </si>
  <si>
    <t>192.168.1.255/30</t>
  </si>
  <si>
    <t>192.168.1.252</t>
  </si>
  <si>
    <t>11.22.33.44/16</t>
  </si>
  <si>
    <t>255.255.0.0</t>
  </si>
  <si>
    <t>11.22.0.0</t>
  </si>
  <si>
    <t>11.23.255.255</t>
  </si>
  <si>
    <t>172.18.64.1/26</t>
  </si>
  <si>
    <t>172.18.64.0</t>
  </si>
  <si>
    <t>172.18.64.255</t>
  </si>
  <si>
    <t>192.168.10.33/23</t>
  </si>
  <si>
    <t>192.168.10.0</t>
  </si>
  <si>
    <t>192.168.11.255</t>
  </si>
  <si>
    <t>10.200.200.200/17</t>
  </si>
  <si>
    <t>255.255.128.0</t>
  </si>
  <si>
    <t>10.200.128.0</t>
  </si>
  <si>
    <t>169.254.10.10/19</t>
  </si>
  <si>
    <t>169.254.0.0</t>
  </si>
  <si>
    <t>169.254.31.255</t>
  </si>
  <si>
    <t>192.168.100.100/30</t>
  </si>
  <si>
    <t>192.168.100.98</t>
  </si>
  <si>
    <t>172.16.0.1/19</t>
  </si>
  <si>
    <t>172.16.0.0</t>
  </si>
  <si>
    <t>172.16.31.255</t>
  </si>
  <si>
    <t>198.51.100.128</t>
  </si>
  <si>
    <t>192.51.100.255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</si>
</sst>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6" borderId="1" xfId="5" applyBorder="1" applyAlignment="1">
      <alignment wrapText="1"/>
    </xf>
    <xf numFmtId="0" fontId="0" fillId="0" borderId="0" xfId="0" applyAlignment="1">
      <alignment horizontal="center" wrapText="1"/>
    </xf>
    <xf numFmtId="0" fontId="4" fillId="2" borderId="1" xfId="1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2" fillId="5" borderId="1" xfId="4" applyFont="1" applyBorder="1" applyAlignment="1">
      <alignment horizontal="center"/>
    </xf>
    <xf numFmtId="0" fontId="1" fillId="4" borderId="1" xfId="3" applyBorder="1" applyAlignment="1">
      <alignment horizontal="center"/>
    </xf>
    <xf numFmtId="0" fontId="5" fillId="5" borderId="1" xfId="4" applyFont="1" applyBorder="1"/>
    <xf numFmtId="0" fontId="4" fillId="5" borderId="1" xfId="4" applyFont="1" applyBorder="1"/>
    <xf numFmtId="0" fontId="4" fillId="5" borderId="1" xfId="4" applyFont="1" applyBorder="1" applyAlignment="1">
      <alignment horizontal="center"/>
    </xf>
    <xf numFmtId="0" fontId="4" fillId="5" borderId="1" xfId="4" applyFont="1" applyBorder="1" applyAlignment="1">
      <alignment horizontal="center" vertical="center"/>
    </xf>
    <xf numFmtId="0" fontId="7" fillId="0" borderId="0" xfId="0" applyFont="1"/>
    <xf numFmtId="0" fontId="8" fillId="7" borderId="1" xfId="6" applyFont="1" applyBorder="1"/>
    <xf numFmtId="0" fontId="9" fillId="7" borderId="1" xfId="6" applyFont="1" applyBorder="1" applyAlignment="1">
      <alignment horizontal="center" vertical="center"/>
    </xf>
    <xf numFmtId="0" fontId="8" fillId="13" borderId="1" xfId="12" applyFont="1" applyBorder="1"/>
    <xf numFmtId="0" fontId="9" fillId="13" borderId="1" xfId="12" applyFont="1" applyBorder="1" applyAlignment="1">
      <alignment horizontal="center" vertical="center"/>
    </xf>
    <xf numFmtId="0" fontId="9" fillId="9" borderId="1" xfId="8" applyFont="1" applyBorder="1"/>
    <xf numFmtId="0" fontId="9" fillId="9" borderId="1" xfId="8" applyFont="1" applyBorder="1" applyAlignment="1">
      <alignment horizontal="center" vertical="center"/>
    </xf>
    <xf numFmtId="0" fontId="0" fillId="0" borderId="4" xfId="0" applyBorder="1"/>
    <xf numFmtId="0" fontId="1" fillId="7" borderId="3" xfId="6" applyBorder="1" applyAlignment="1">
      <alignment horizontal="center"/>
    </xf>
    <xf numFmtId="3" fontId="1" fillId="7" borderId="1" xfId="6" applyNumberFormat="1" applyBorder="1" applyAlignment="1">
      <alignment horizontal="center"/>
    </xf>
    <xf numFmtId="0" fontId="1" fillId="7" borderId="1" xfId="6" applyBorder="1" applyAlignment="1">
      <alignment horizontal="center"/>
    </xf>
    <xf numFmtId="0" fontId="1" fillId="10" borderId="1" xfId="9" applyBorder="1" applyAlignment="1">
      <alignment horizontal="center"/>
    </xf>
    <xf numFmtId="0" fontId="1" fillId="11" borderId="1" xfId="10" applyBorder="1" applyAlignment="1">
      <alignment horizontal="center"/>
    </xf>
    <xf numFmtId="0" fontId="1" fillId="12" borderId="1" xfId="11" applyBorder="1" applyAlignment="1">
      <alignment horizontal="center"/>
    </xf>
    <xf numFmtId="0" fontId="1" fillId="8" borderId="2" xfId="7" applyBorder="1" applyAlignment="1">
      <alignment horizontal="center"/>
    </xf>
    <xf numFmtId="0" fontId="1" fillId="8" borderId="1" xfId="7" applyBorder="1" applyAlignment="1">
      <alignment horizontal="center"/>
    </xf>
    <xf numFmtId="3" fontId="1" fillId="11" borderId="1" xfId="10" applyNumberFormat="1" applyBorder="1" applyAlignment="1">
      <alignment horizontal="center"/>
    </xf>
    <xf numFmtId="3" fontId="1" fillId="12" borderId="1" xfId="11" applyNumberFormat="1" applyBorder="1" applyAlignment="1">
      <alignment horizontal="center"/>
    </xf>
  </cellXfs>
  <cellStyles count="13">
    <cellStyle name="20% - Énfasis3" xfId="3" builtinId="38"/>
    <cellStyle name="20% - Énfasis4" xfId="9" builtinId="42"/>
    <cellStyle name="20% - Énfasis5" xfId="10" builtinId="46"/>
    <cellStyle name="20% - Énfasis6" xfId="11" builtinId="50"/>
    <cellStyle name="40% - Énfasis2" xfId="6" builtinId="35"/>
    <cellStyle name="40% - Énfasis3" xfId="7" builtinId="39"/>
    <cellStyle name="40% - Énfasis6" xfId="12" builtinId="51"/>
    <cellStyle name="60% - Énfasis3" xfId="8" builtinId="40"/>
    <cellStyle name="60% - Énfasis6" xfId="5" builtinId="52"/>
    <cellStyle name="Énfasis1" xfId="1" builtinId="29"/>
    <cellStyle name="Énfasis2" xfId="2" builtinId="33"/>
    <cellStyle name="Énfasis5" xfId="4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"/>
  <sheetViews>
    <sheetView workbookViewId="0">
      <selection activeCell="AB5" sqref="AB5"/>
    </sheetView>
  </sheetViews>
  <sheetFormatPr baseColWidth="10" defaultColWidth="9.140625" defaultRowHeight="15" x14ac:dyDescent="0.25"/>
  <cols>
    <col min="1" max="1" width="4" bestFit="1" customWidth="1"/>
    <col min="2" max="4" width="3" bestFit="1" customWidth="1"/>
    <col min="5" max="8" width="2" bestFit="1" customWidth="1"/>
    <col min="9" max="10" width="4" bestFit="1" customWidth="1"/>
    <col min="11" max="13" width="3" bestFit="1" customWidth="1"/>
    <col min="14" max="17" width="2" bestFit="1" customWidth="1"/>
    <col min="18" max="19" width="4" bestFit="1" customWidth="1"/>
    <col min="20" max="22" width="3" bestFit="1" customWidth="1"/>
    <col min="23" max="26" width="2" bestFit="1" customWidth="1"/>
    <col min="27" max="28" width="4" bestFit="1" customWidth="1"/>
    <col min="29" max="31" width="3" bestFit="1" customWidth="1"/>
    <col min="32" max="35" width="2" bestFit="1" customWidth="1"/>
    <col min="36" max="36" width="4" bestFit="1" customWidth="1"/>
  </cols>
  <sheetData>
    <row r="1" spans="1:41" ht="5.0999999999999996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L1" s="6" t="s">
        <v>1</v>
      </c>
      <c r="AM1" s="6"/>
      <c r="AN1" s="7" t="s">
        <v>2</v>
      </c>
      <c r="AO1" s="7"/>
    </row>
    <row r="2" spans="1:41" ht="5.0999999999999996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L2" s="6"/>
      <c r="AM2" s="6"/>
      <c r="AN2" s="7"/>
      <c r="AO2" s="7"/>
    </row>
    <row r="3" spans="1:41" ht="5.0999999999999996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L3" s="6"/>
      <c r="AM3" s="6"/>
      <c r="AN3" s="7"/>
      <c r="AO3" s="7"/>
    </row>
    <row r="4" spans="1:41" x14ac:dyDescent="0.25">
      <c r="A4" s="2">
        <v>128</v>
      </c>
      <c r="B4" s="2">
        <v>64</v>
      </c>
      <c r="C4" s="2">
        <v>32</v>
      </c>
      <c r="D4" s="2">
        <v>16</v>
      </c>
      <c r="E4" s="2">
        <v>8</v>
      </c>
      <c r="F4" s="2">
        <v>4</v>
      </c>
      <c r="G4" s="2">
        <v>2</v>
      </c>
      <c r="H4" s="2">
        <v>1</v>
      </c>
      <c r="I4" s="4"/>
      <c r="J4" s="2">
        <v>128</v>
      </c>
      <c r="K4" s="2">
        <v>64</v>
      </c>
      <c r="L4" s="2">
        <v>32</v>
      </c>
      <c r="M4" s="2">
        <v>16</v>
      </c>
      <c r="N4" s="2">
        <v>8</v>
      </c>
      <c r="O4" s="2">
        <v>4</v>
      </c>
      <c r="P4" s="2">
        <v>2</v>
      </c>
      <c r="Q4" s="2">
        <v>1</v>
      </c>
      <c r="R4" s="4"/>
      <c r="S4" s="2">
        <v>128</v>
      </c>
      <c r="T4" s="2">
        <v>64</v>
      </c>
      <c r="U4" s="2">
        <v>32</v>
      </c>
      <c r="V4" s="2">
        <v>16</v>
      </c>
      <c r="W4" s="2">
        <v>8</v>
      </c>
      <c r="X4" s="2">
        <v>4</v>
      </c>
      <c r="Y4" s="2">
        <v>2</v>
      </c>
      <c r="Z4" s="2">
        <v>1</v>
      </c>
      <c r="AA4" s="4"/>
      <c r="AB4" s="2">
        <v>128</v>
      </c>
      <c r="AC4" s="2">
        <v>64</v>
      </c>
      <c r="AD4" s="2">
        <v>32</v>
      </c>
      <c r="AE4" s="2">
        <v>16</v>
      </c>
      <c r="AF4" s="2">
        <v>8</v>
      </c>
      <c r="AG4" s="2">
        <v>4</v>
      </c>
      <c r="AH4" s="2">
        <v>2</v>
      </c>
      <c r="AI4" s="2">
        <v>1</v>
      </c>
      <c r="AJ4" s="4"/>
      <c r="AL4" s="8" t="str">
        <f>CONCATENATE("/",COUNTIF(A5:AI5,1))</f>
        <v>/24</v>
      </c>
      <c r="AM4" s="8"/>
      <c r="AN4" s="8" t="str">
        <f>CONCATENATE("2^",COUNTIF(A5:AI5,0))</f>
        <v>2^8</v>
      </c>
      <c r="AO4" s="8"/>
    </row>
    <row r="5" spans="1:41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4"/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4"/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4"/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4"/>
      <c r="AN5" s="8">
        <f>2^COUNTIF(A5:AI5,0)</f>
        <v>256</v>
      </c>
      <c r="AO5" s="8"/>
    </row>
    <row r="6" spans="1:41" x14ac:dyDescent="0.25">
      <c r="A6" s="4"/>
      <c r="B6" s="4"/>
      <c r="C6" s="4"/>
      <c r="D6" s="4"/>
      <c r="E6" s="4"/>
      <c r="F6" s="4"/>
      <c r="G6" s="4"/>
      <c r="H6" s="4"/>
      <c r="I6" s="3">
        <f>(A4*A5) + (B4*B5) + (C4*C5) + (D4*D5)+(E4*E5) +(F4*F5) +(G4*G5)+(H4*H5)</f>
        <v>255</v>
      </c>
      <c r="J6" s="4"/>
      <c r="K6" s="4"/>
      <c r="L6" s="4"/>
      <c r="M6" s="4"/>
      <c r="N6" s="4"/>
      <c r="O6" s="4"/>
      <c r="P6" s="4"/>
      <c r="Q6" s="4"/>
      <c r="R6" s="3">
        <f>(J4*J5) + (K4*K5) + (L4*L5) + (M4*M5)+(N4*N5) +(O4*O5) +(P4*P5)+(Q4*Q5)</f>
        <v>255</v>
      </c>
      <c r="S6" s="4"/>
      <c r="T6" s="4"/>
      <c r="U6" s="4"/>
      <c r="V6" s="4"/>
      <c r="W6" s="4"/>
      <c r="X6" s="4"/>
      <c r="Y6" s="4"/>
      <c r="Z6" s="4"/>
      <c r="AA6" s="3">
        <f>(S4*S5) + (T4*T5) + (U4*U5) + (V4*V5)+(W4*W5) +(X4*X5) +(Y4*Y5)+(Z4*Z5)</f>
        <v>255</v>
      </c>
      <c r="AB6" s="4"/>
      <c r="AC6" s="4"/>
      <c r="AD6" s="4"/>
      <c r="AE6" s="4"/>
      <c r="AF6" s="4"/>
      <c r="AG6" s="4"/>
      <c r="AH6" s="4"/>
      <c r="AI6" s="4"/>
      <c r="AJ6" s="3">
        <f>(AB4*AB5) + (AC4*AC5) + (AD4*AD5) + (AE4*AE5)+(AF4*AF5) +(AG4*AG5) +(AH4*AH5)+(AI4*AI5)</f>
        <v>0</v>
      </c>
    </row>
  </sheetData>
  <mergeCells count="14">
    <mergeCell ref="AJ4:AJ5"/>
    <mergeCell ref="AB6:AI6"/>
    <mergeCell ref="A1:AJ3"/>
    <mergeCell ref="AL1:AM3"/>
    <mergeCell ref="AN1:AO3"/>
    <mergeCell ref="AL4:AM4"/>
    <mergeCell ref="AN4:AO4"/>
    <mergeCell ref="AN5:AO5"/>
    <mergeCell ref="I4:I5"/>
    <mergeCell ref="A6:H6"/>
    <mergeCell ref="R4:R5"/>
    <mergeCell ref="J6:Q6"/>
    <mergeCell ref="AA4:AA5"/>
    <mergeCell ref="S6:Z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29E2-F4A0-4F11-BDA8-D8698C5E66D3}">
  <dimension ref="A1:N47"/>
  <sheetViews>
    <sheetView tabSelected="1" topLeftCell="A6" workbookViewId="0">
      <selection activeCell="O33" sqref="O33"/>
    </sheetView>
  </sheetViews>
  <sheetFormatPr baseColWidth="10" defaultRowHeight="15" x14ac:dyDescent="0.25"/>
  <cols>
    <col min="1" max="1" width="26.85546875" customWidth="1"/>
    <col min="2" max="2" width="15" customWidth="1"/>
    <col min="3" max="3" width="14.85546875" customWidth="1"/>
    <col min="4" max="4" width="14" customWidth="1"/>
    <col min="5" max="5" width="13.7109375" customWidth="1"/>
    <col min="6" max="6" width="13.5703125" customWidth="1"/>
    <col min="7" max="7" width="13.140625" customWidth="1"/>
    <col min="8" max="8" width="13.7109375" customWidth="1"/>
    <col min="9" max="9" width="14.28515625" customWidth="1"/>
    <col min="10" max="10" width="20.7109375" customWidth="1"/>
    <col min="11" max="11" width="22" customWidth="1"/>
    <col min="12" max="12" width="13.28515625" customWidth="1"/>
    <col min="13" max="13" width="22.42578125" customWidth="1"/>
    <col min="14" max="14" width="26.140625" customWidth="1"/>
  </cols>
  <sheetData>
    <row r="1" spans="1:14" ht="15.75" x14ac:dyDescent="0.25">
      <c r="A1" s="9"/>
      <c r="B1" s="11" t="s">
        <v>3</v>
      </c>
      <c r="C1" s="11"/>
      <c r="D1" s="11"/>
      <c r="E1" s="11"/>
      <c r="F1" s="11"/>
      <c r="G1" s="11"/>
      <c r="H1" s="11"/>
      <c r="I1" s="11"/>
    </row>
    <row r="2" spans="1:14" ht="15.75" x14ac:dyDescent="0.25">
      <c r="A2" s="14" t="s">
        <v>1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</row>
    <row r="3" spans="1:14" ht="15.75" x14ac:dyDescent="0.25">
      <c r="A3" s="16" t="s">
        <v>2</v>
      </c>
      <c r="B3" s="17">
        <f t="shared" ref="B3:G3" si="0">C3*2</f>
        <v>2147483648</v>
      </c>
      <c r="C3" s="17">
        <f t="shared" si="0"/>
        <v>1073741824</v>
      </c>
      <c r="D3" s="17">
        <f t="shared" si="0"/>
        <v>536870912</v>
      </c>
      <c r="E3" s="17">
        <f t="shared" si="0"/>
        <v>268435456</v>
      </c>
      <c r="F3" s="17">
        <f t="shared" si="0"/>
        <v>134217728</v>
      </c>
      <c r="G3" s="17">
        <f t="shared" si="0"/>
        <v>67108864</v>
      </c>
      <c r="H3" s="17">
        <f>I3*2</f>
        <v>33554432</v>
      </c>
      <c r="I3" s="17">
        <f>B6*2</f>
        <v>16777216</v>
      </c>
    </row>
    <row r="4" spans="1:14" ht="15.75" x14ac:dyDescent="0.25">
      <c r="A4" s="10" t="s">
        <v>4</v>
      </c>
      <c r="B4" s="12" t="s">
        <v>7</v>
      </c>
      <c r="C4" s="12"/>
      <c r="D4" s="12"/>
      <c r="E4" s="12"/>
      <c r="F4" s="12"/>
      <c r="G4" s="12"/>
      <c r="H4" s="12"/>
      <c r="I4" s="12"/>
    </row>
    <row r="5" spans="1:14" ht="15.75" x14ac:dyDescent="0.25">
      <c r="A5" s="14" t="s">
        <v>1</v>
      </c>
      <c r="B5" s="15" t="s">
        <v>19</v>
      </c>
      <c r="C5" s="15" t="s">
        <v>20</v>
      </c>
      <c r="D5" s="15" t="s">
        <v>21</v>
      </c>
      <c r="E5" s="15" t="s">
        <v>22</v>
      </c>
      <c r="F5" s="15" t="s">
        <v>23</v>
      </c>
      <c r="G5" s="15" t="s">
        <v>24</v>
      </c>
      <c r="H5" s="15" t="s">
        <v>25</v>
      </c>
      <c r="I5" s="15" t="s">
        <v>26</v>
      </c>
    </row>
    <row r="6" spans="1:14" ht="15.75" x14ac:dyDescent="0.25">
      <c r="A6" s="16" t="s">
        <v>2</v>
      </c>
      <c r="B6" s="17">
        <f t="shared" ref="B6:G6" si="1">C6*2</f>
        <v>8388608</v>
      </c>
      <c r="C6" s="17">
        <f t="shared" si="1"/>
        <v>4194304</v>
      </c>
      <c r="D6" s="17">
        <f t="shared" si="1"/>
        <v>2097152</v>
      </c>
      <c r="E6" s="17">
        <f t="shared" si="1"/>
        <v>1048576</v>
      </c>
      <c r="F6" s="17">
        <f t="shared" si="1"/>
        <v>524288</v>
      </c>
      <c r="G6" s="17">
        <f t="shared" si="1"/>
        <v>262144</v>
      </c>
      <c r="H6" s="17">
        <f>I6*2</f>
        <v>131072</v>
      </c>
      <c r="I6" s="17">
        <f>B9*2</f>
        <v>65536</v>
      </c>
    </row>
    <row r="7" spans="1:14" ht="15.75" x14ac:dyDescent="0.25">
      <c r="A7" s="10" t="s">
        <v>5</v>
      </c>
      <c r="B7" s="12" t="s">
        <v>8</v>
      </c>
      <c r="C7" s="12"/>
      <c r="D7" s="12"/>
      <c r="E7" s="12"/>
      <c r="F7" s="12"/>
      <c r="G7" s="12"/>
      <c r="H7" s="12"/>
      <c r="I7" s="12"/>
    </row>
    <row r="8" spans="1:14" ht="15.75" x14ac:dyDescent="0.25">
      <c r="A8" s="14" t="s">
        <v>1</v>
      </c>
      <c r="B8" s="15" t="s">
        <v>27</v>
      </c>
      <c r="C8" s="15" t="s">
        <v>28</v>
      </c>
      <c r="D8" s="15" t="s">
        <v>29</v>
      </c>
      <c r="E8" s="15" t="s">
        <v>30</v>
      </c>
      <c r="F8" s="15" t="s">
        <v>31</v>
      </c>
      <c r="G8" s="15" t="s">
        <v>32</v>
      </c>
      <c r="H8" s="15" t="s">
        <v>33</v>
      </c>
      <c r="I8" s="15" t="s">
        <v>34</v>
      </c>
    </row>
    <row r="9" spans="1:14" ht="15.75" x14ac:dyDescent="0.25">
      <c r="A9" s="16" t="s">
        <v>2</v>
      </c>
      <c r="B9" s="17">
        <f t="shared" ref="B9:G9" si="2">C9*2</f>
        <v>32768</v>
      </c>
      <c r="C9" s="17">
        <f t="shared" si="2"/>
        <v>16384</v>
      </c>
      <c r="D9" s="17">
        <f t="shared" si="2"/>
        <v>8192</v>
      </c>
      <c r="E9" s="17">
        <f t="shared" si="2"/>
        <v>4096</v>
      </c>
      <c r="F9" s="17">
        <f t="shared" si="2"/>
        <v>2048</v>
      </c>
      <c r="G9" s="17">
        <f t="shared" si="2"/>
        <v>1024</v>
      </c>
      <c r="H9" s="17">
        <f>I9*2</f>
        <v>512</v>
      </c>
      <c r="I9" s="17">
        <f>B12*2</f>
        <v>256</v>
      </c>
    </row>
    <row r="10" spans="1:14" ht="15.75" x14ac:dyDescent="0.25">
      <c r="A10" s="10" t="s">
        <v>6</v>
      </c>
      <c r="B10" s="12" t="s">
        <v>9</v>
      </c>
      <c r="C10" s="12"/>
      <c r="D10" s="12"/>
      <c r="E10" s="12"/>
      <c r="F10" s="12"/>
      <c r="G10" s="12"/>
      <c r="H10" s="12"/>
      <c r="I10" s="12"/>
    </row>
    <row r="11" spans="1:14" ht="15.75" x14ac:dyDescent="0.25">
      <c r="A11" s="14" t="s">
        <v>1</v>
      </c>
      <c r="B11" s="15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</row>
    <row r="12" spans="1:14" ht="15.75" x14ac:dyDescent="0.25">
      <c r="A12" s="16" t="s">
        <v>2</v>
      </c>
      <c r="B12" s="17">
        <f t="shared" ref="B12:G12" si="3">C12*2</f>
        <v>128</v>
      </c>
      <c r="C12" s="17">
        <f t="shared" si="3"/>
        <v>64</v>
      </c>
      <c r="D12" s="17">
        <f t="shared" si="3"/>
        <v>32</v>
      </c>
      <c r="E12" s="17">
        <f t="shared" si="3"/>
        <v>16</v>
      </c>
      <c r="F12" s="17">
        <f t="shared" si="3"/>
        <v>8</v>
      </c>
      <c r="G12" s="17">
        <f t="shared" si="3"/>
        <v>4</v>
      </c>
      <c r="H12" s="17">
        <f>I12*2</f>
        <v>2</v>
      </c>
      <c r="I12" s="17">
        <v>1</v>
      </c>
    </row>
    <row r="13" spans="1:14" ht="15.75" x14ac:dyDescent="0.25">
      <c r="A13" s="18" t="s">
        <v>10</v>
      </c>
      <c r="B13" s="19">
        <v>128</v>
      </c>
      <c r="C13" s="19">
        <f>B13+C12</f>
        <v>192</v>
      </c>
      <c r="D13" s="19">
        <f t="shared" ref="D13:I13" si="4">C13+D12</f>
        <v>224</v>
      </c>
      <c r="E13" s="19">
        <f t="shared" si="4"/>
        <v>240</v>
      </c>
      <c r="F13" s="19">
        <f t="shared" si="4"/>
        <v>248</v>
      </c>
      <c r="G13" s="19">
        <f t="shared" si="4"/>
        <v>252</v>
      </c>
      <c r="H13" s="19">
        <f t="shared" si="4"/>
        <v>254</v>
      </c>
      <c r="I13" s="19">
        <f t="shared" si="4"/>
        <v>255</v>
      </c>
    </row>
    <row r="15" spans="1:14" x14ac:dyDescent="0.25">
      <c r="K15" s="13"/>
    </row>
    <row r="16" spans="1:14" x14ac:dyDescent="0.25">
      <c r="J16" s="20"/>
      <c r="K16" s="21" t="s">
        <v>43</v>
      </c>
      <c r="L16" s="24" t="s">
        <v>2</v>
      </c>
      <c r="M16" s="25" t="s">
        <v>44</v>
      </c>
      <c r="N16" s="26" t="s">
        <v>45</v>
      </c>
    </row>
    <row r="17" spans="10:14" x14ac:dyDescent="0.25">
      <c r="J17" s="27" t="s">
        <v>46</v>
      </c>
      <c r="K17" s="22">
        <v>255255255192</v>
      </c>
      <c r="L17" s="24">
        <v>62</v>
      </c>
      <c r="M17" s="25" t="s">
        <v>48</v>
      </c>
      <c r="N17" s="26" t="s">
        <v>50</v>
      </c>
    </row>
    <row r="18" spans="10:14" x14ac:dyDescent="0.25">
      <c r="J18" s="28" t="s">
        <v>51</v>
      </c>
      <c r="K18" s="23" t="s">
        <v>47</v>
      </c>
      <c r="L18" s="24">
        <v>254</v>
      </c>
      <c r="M18" s="25" t="s">
        <v>52</v>
      </c>
      <c r="N18" s="26" t="s">
        <v>53</v>
      </c>
    </row>
    <row r="19" spans="10:14" x14ac:dyDescent="0.25">
      <c r="J19" s="28" t="s">
        <v>54</v>
      </c>
      <c r="K19" s="22" t="s">
        <v>64</v>
      </c>
      <c r="L19" s="24">
        <v>510</v>
      </c>
      <c r="M19" s="25" t="s">
        <v>52</v>
      </c>
      <c r="N19" s="26" t="s">
        <v>55</v>
      </c>
    </row>
    <row r="20" spans="10:14" x14ac:dyDescent="0.25">
      <c r="J20" s="28" t="s">
        <v>56</v>
      </c>
      <c r="K20" s="22">
        <v>255255255128</v>
      </c>
      <c r="L20" s="24">
        <v>126</v>
      </c>
      <c r="M20" s="29">
        <v>192168112128</v>
      </c>
      <c r="N20" s="30">
        <v>192168112255</v>
      </c>
    </row>
    <row r="21" spans="10:14" x14ac:dyDescent="0.25">
      <c r="J21" s="28" t="s">
        <v>57</v>
      </c>
      <c r="K21" s="22" t="s">
        <v>64</v>
      </c>
      <c r="L21" s="24">
        <v>510</v>
      </c>
      <c r="M21" s="25" t="s">
        <v>58</v>
      </c>
      <c r="N21" s="26" t="s">
        <v>49</v>
      </c>
    </row>
    <row r="22" spans="10:14" x14ac:dyDescent="0.25">
      <c r="J22" s="28" t="s">
        <v>59</v>
      </c>
      <c r="K22" s="22" t="s">
        <v>64</v>
      </c>
      <c r="L22" s="24">
        <v>510</v>
      </c>
      <c r="M22" s="25" t="s">
        <v>61</v>
      </c>
      <c r="N22" s="26" t="s">
        <v>62</v>
      </c>
    </row>
    <row r="23" spans="10:14" x14ac:dyDescent="0.25">
      <c r="J23" s="28" t="s">
        <v>60</v>
      </c>
      <c r="K23" s="22" t="s">
        <v>64</v>
      </c>
      <c r="L23" s="24">
        <v>510</v>
      </c>
      <c r="M23" s="25" t="s">
        <v>61</v>
      </c>
      <c r="N23" s="26" t="s">
        <v>62</v>
      </c>
    </row>
    <row r="24" spans="10:14" x14ac:dyDescent="0.25">
      <c r="J24" s="28" t="s">
        <v>63</v>
      </c>
      <c r="K24" s="22" t="s">
        <v>66</v>
      </c>
      <c r="L24" s="24">
        <v>8190</v>
      </c>
      <c r="M24" s="25" t="s">
        <v>52</v>
      </c>
      <c r="N24" s="26" t="s">
        <v>65</v>
      </c>
    </row>
    <row r="25" spans="10:14" x14ac:dyDescent="0.25">
      <c r="J25" s="28" t="s">
        <v>67</v>
      </c>
      <c r="K25" s="23" t="s">
        <v>66</v>
      </c>
      <c r="L25" s="24">
        <v>8190</v>
      </c>
      <c r="M25" s="25" t="s">
        <v>68</v>
      </c>
      <c r="N25" s="26" t="s">
        <v>69</v>
      </c>
    </row>
    <row r="26" spans="10:14" x14ac:dyDescent="0.25">
      <c r="J26" s="28" t="s">
        <v>70</v>
      </c>
      <c r="K26" s="23" t="s">
        <v>71</v>
      </c>
      <c r="L26" s="24">
        <v>524280</v>
      </c>
      <c r="M26" s="25" t="s">
        <v>72</v>
      </c>
      <c r="N26" s="26" t="s">
        <v>73</v>
      </c>
    </row>
    <row r="27" spans="10:14" x14ac:dyDescent="0.25">
      <c r="J27" s="28" t="s">
        <v>74</v>
      </c>
      <c r="K27" s="22">
        <v>255255255224</v>
      </c>
      <c r="L27" s="24">
        <v>30</v>
      </c>
      <c r="M27" s="25" t="s">
        <v>75</v>
      </c>
      <c r="N27" s="26" t="s">
        <v>76</v>
      </c>
    </row>
    <row r="28" spans="10:14" x14ac:dyDescent="0.25">
      <c r="J28" s="28" t="s">
        <v>77</v>
      </c>
      <c r="K28" s="22" t="s">
        <v>81</v>
      </c>
      <c r="L28" s="24">
        <v>4094</v>
      </c>
      <c r="M28" s="25" t="s">
        <v>78</v>
      </c>
      <c r="N28" s="26" t="s">
        <v>79</v>
      </c>
    </row>
    <row r="29" spans="10:14" x14ac:dyDescent="0.25">
      <c r="J29" s="28" t="s">
        <v>80</v>
      </c>
      <c r="K29" s="22">
        <v>255255255252</v>
      </c>
      <c r="L29" s="24">
        <v>2</v>
      </c>
      <c r="M29" s="25" t="s">
        <v>83</v>
      </c>
      <c r="N29" s="26" t="s">
        <v>82</v>
      </c>
    </row>
    <row r="30" spans="10:14" x14ac:dyDescent="0.25">
      <c r="J30" s="28" t="s">
        <v>84</v>
      </c>
      <c r="K30" s="22">
        <v>255255255240</v>
      </c>
      <c r="L30" s="24">
        <v>14</v>
      </c>
      <c r="M30" s="25" t="s">
        <v>85</v>
      </c>
      <c r="N30" s="26" t="s">
        <v>86</v>
      </c>
    </row>
    <row r="31" spans="10:14" x14ac:dyDescent="0.25">
      <c r="J31" s="28" t="s">
        <v>87</v>
      </c>
      <c r="K31" s="23" t="s">
        <v>88</v>
      </c>
      <c r="L31" s="24">
        <v>1022</v>
      </c>
      <c r="M31" s="25" t="s">
        <v>89</v>
      </c>
      <c r="N31" s="30">
        <v>192168203255</v>
      </c>
    </row>
    <row r="32" spans="10:14" x14ac:dyDescent="0.25">
      <c r="J32" s="28" t="s">
        <v>90</v>
      </c>
      <c r="K32" s="22">
        <v>255255255248</v>
      </c>
      <c r="L32" s="24">
        <v>6</v>
      </c>
      <c r="M32" s="25" t="s">
        <v>91</v>
      </c>
      <c r="N32" s="26" t="s">
        <v>92</v>
      </c>
    </row>
    <row r="33" spans="10:14" x14ac:dyDescent="0.25">
      <c r="J33" s="28" t="s">
        <v>93</v>
      </c>
      <c r="K33" s="22">
        <v>255255255128</v>
      </c>
      <c r="L33" s="24">
        <v>128</v>
      </c>
      <c r="M33" s="25" t="s">
        <v>138</v>
      </c>
      <c r="N33" s="26" t="s">
        <v>139</v>
      </c>
    </row>
    <row r="34" spans="10:14" x14ac:dyDescent="0.25">
      <c r="J34" s="28" t="s">
        <v>94</v>
      </c>
      <c r="K34" s="23" t="s">
        <v>47</v>
      </c>
      <c r="L34" s="24">
        <v>254</v>
      </c>
      <c r="M34" s="25" t="s">
        <v>95</v>
      </c>
      <c r="N34" s="26" t="s">
        <v>96</v>
      </c>
    </row>
    <row r="35" spans="10:14" x14ac:dyDescent="0.25">
      <c r="J35" s="28" t="s">
        <v>97</v>
      </c>
      <c r="K35" s="22" t="s">
        <v>98</v>
      </c>
      <c r="L35" s="24">
        <v>1048574</v>
      </c>
      <c r="M35" s="25" t="s">
        <v>99</v>
      </c>
      <c r="N35" s="26" t="s">
        <v>100</v>
      </c>
    </row>
    <row r="36" spans="10:14" x14ac:dyDescent="0.25">
      <c r="J36" s="28" t="s">
        <v>101</v>
      </c>
      <c r="K36" s="23" t="s">
        <v>102</v>
      </c>
      <c r="L36" s="24">
        <v>16382</v>
      </c>
      <c r="M36" s="25" t="s">
        <v>103</v>
      </c>
      <c r="N36" s="26" t="s">
        <v>104</v>
      </c>
    </row>
    <row r="37" spans="10:14" x14ac:dyDescent="0.25">
      <c r="J37" s="28" t="s">
        <v>105</v>
      </c>
      <c r="K37" s="22" t="s">
        <v>64</v>
      </c>
      <c r="L37" s="24">
        <v>510</v>
      </c>
      <c r="M37" s="25" t="s">
        <v>106</v>
      </c>
      <c r="N37" s="26" t="s">
        <v>107</v>
      </c>
    </row>
    <row r="38" spans="10:14" x14ac:dyDescent="0.25">
      <c r="J38" s="28" t="s">
        <v>108</v>
      </c>
      <c r="K38" s="23" t="s">
        <v>71</v>
      </c>
      <c r="L38" s="24">
        <v>2048</v>
      </c>
      <c r="M38" s="25" t="s">
        <v>109</v>
      </c>
      <c r="N38" s="26" t="s">
        <v>110</v>
      </c>
    </row>
    <row r="39" spans="10:14" x14ac:dyDescent="0.25">
      <c r="J39" s="28" t="s">
        <v>111</v>
      </c>
      <c r="K39" s="23" t="s">
        <v>112</v>
      </c>
      <c r="L39" s="24">
        <v>262142</v>
      </c>
      <c r="M39" s="25" t="s">
        <v>113</v>
      </c>
      <c r="N39" s="26" t="s">
        <v>114</v>
      </c>
    </row>
    <row r="40" spans="10:14" x14ac:dyDescent="0.25">
      <c r="J40" s="28" t="s">
        <v>115</v>
      </c>
      <c r="K40" s="22">
        <v>255255255252</v>
      </c>
      <c r="L40" s="24">
        <v>2</v>
      </c>
      <c r="M40" s="25" t="s">
        <v>116</v>
      </c>
      <c r="N40" s="26" t="s">
        <v>49</v>
      </c>
    </row>
    <row r="41" spans="10:14" x14ac:dyDescent="0.25">
      <c r="J41" s="28" t="s">
        <v>117</v>
      </c>
      <c r="K41" s="23" t="s">
        <v>118</v>
      </c>
      <c r="L41" s="24">
        <v>65534</v>
      </c>
      <c r="M41" s="25" t="s">
        <v>119</v>
      </c>
      <c r="N41" s="26" t="s">
        <v>120</v>
      </c>
    </row>
    <row r="42" spans="10:14" x14ac:dyDescent="0.25">
      <c r="J42" s="28" t="s">
        <v>121</v>
      </c>
      <c r="K42" s="22">
        <v>255255255192</v>
      </c>
      <c r="L42" s="24">
        <v>254</v>
      </c>
      <c r="M42" s="25" t="s">
        <v>122</v>
      </c>
      <c r="N42" s="26" t="s">
        <v>123</v>
      </c>
    </row>
    <row r="43" spans="10:14" x14ac:dyDescent="0.25">
      <c r="J43" s="28" t="s">
        <v>124</v>
      </c>
      <c r="K43" s="23" t="s">
        <v>64</v>
      </c>
      <c r="L43" s="24">
        <v>510</v>
      </c>
      <c r="M43" s="25" t="s">
        <v>125</v>
      </c>
      <c r="N43" s="26" t="s">
        <v>126</v>
      </c>
    </row>
    <row r="44" spans="10:14" x14ac:dyDescent="0.25">
      <c r="J44" s="28" t="s">
        <v>127</v>
      </c>
      <c r="K44" s="23" t="s">
        <v>128</v>
      </c>
      <c r="L44" s="24">
        <v>32766</v>
      </c>
      <c r="M44" s="25" t="s">
        <v>129</v>
      </c>
      <c r="N44" s="30">
        <v>10200255255</v>
      </c>
    </row>
    <row r="45" spans="10:14" x14ac:dyDescent="0.25">
      <c r="J45" s="28" t="s">
        <v>130</v>
      </c>
      <c r="K45" s="23" t="s">
        <v>66</v>
      </c>
      <c r="L45" s="24">
        <v>8190</v>
      </c>
      <c r="M45" s="25" t="s">
        <v>131</v>
      </c>
      <c r="N45" s="26" t="s">
        <v>132</v>
      </c>
    </row>
    <row r="46" spans="10:14" x14ac:dyDescent="0.25">
      <c r="J46" s="28" t="s">
        <v>133</v>
      </c>
      <c r="K46" s="22">
        <v>255255255252</v>
      </c>
      <c r="L46" s="24">
        <v>2</v>
      </c>
      <c r="M46" s="25" t="s">
        <v>134</v>
      </c>
      <c r="N46" s="30">
        <v>192168100101</v>
      </c>
    </row>
    <row r="47" spans="10:14" x14ac:dyDescent="0.25">
      <c r="J47" s="28" t="s">
        <v>135</v>
      </c>
      <c r="K47" s="22">
        <v>255255224</v>
      </c>
      <c r="L47" s="24">
        <v>8190</v>
      </c>
      <c r="M47" s="25" t="s">
        <v>136</v>
      </c>
      <c r="N47" s="26" t="s">
        <v>137</v>
      </c>
    </row>
  </sheetData>
  <mergeCells count="4">
    <mergeCell ref="B1:I1"/>
    <mergeCell ref="B4:I4"/>
    <mergeCell ref="B7:I7"/>
    <mergeCell ref="B10:I1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Bits</vt:lpstr>
      <vt:lpstr>CheatSheet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Estrella</dc:creator>
  <cp:lastModifiedBy>Daniel Estrella</cp:lastModifiedBy>
  <dcterms:created xsi:type="dcterms:W3CDTF">2015-06-05T18:17:20Z</dcterms:created>
  <dcterms:modified xsi:type="dcterms:W3CDTF">2025-08-21T20:15:05Z</dcterms:modified>
</cp:coreProperties>
</file>